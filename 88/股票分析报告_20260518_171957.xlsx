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亚世光电" sheetId="2" state="visible" r:id="rId2"/>
    <sheet xmlns:r="http://schemas.openxmlformats.org/officeDocument/2006/relationships" name="亚世光电_K线" sheetId="3" state="visible" r:id="rId3"/>
    <sheet xmlns:r="http://schemas.openxmlformats.org/officeDocument/2006/relationships" name="氯碱化工" sheetId="4" state="visible" r:id="rId4"/>
    <sheet xmlns:r="http://schemas.openxmlformats.org/officeDocument/2006/relationships" name="氯碱化工_K线" sheetId="5" state="visible" r:id="rId5"/>
    <sheet xmlns:r="http://schemas.openxmlformats.org/officeDocument/2006/relationships" name="对比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涨停先知 - 智能量化交易系统</t>
        </is>
      </c>
      <c r="B1" t="inlineStr"/>
    </row>
    <row r="2">
      <c r="A2" t="inlineStr"/>
      <c r="B2" t="inlineStr"/>
    </row>
    <row r="3">
      <c r="A3" t="inlineStr">
        <is>
          <t>股票分析报告</t>
        </is>
      </c>
      <c r="B3" t="inlineStr"/>
    </row>
    <row r="4">
      <c r="A4" t="inlineStr"/>
      <c r="B4" t="inlineStr"/>
    </row>
    <row r="5">
      <c r="A5" t="inlineStr">
        <is>
          <t>分析日期:</t>
        </is>
      </c>
      <c r="B5" t="inlineStr">
        <is>
          <t>2026年05月18日 17:19</t>
        </is>
      </c>
    </row>
    <row r="6">
      <c r="A6" t="inlineStr"/>
      <c r="B6" t="inlineStr"/>
    </row>
    <row r="7">
      <c r="A7" t="inlineStr">
        <is>
          <t>推荐股票:</t>
        </is>
      </c>
      <c r="B7" t="inlineStr">
        <is>
          <t>亚世光电(SZ002952)、氯碱化工(SH600618)</t>
        </is>
      </c>
    </row>
    <row r="8">
      <c r="A8" t="inlineStr"/>
      <c r="B8" t="inlineStr"/>
    </row>
    <row r="9">
      <c r="A9" t="inlineStr">
        <is>
          <t>风险提示:</t>
        </is>
      </c>
      <c r="B9" t="inlineStr">
        <is>
          <t>以上分析仅供参考，不构成投资建议</t>
        </is>
      </c>
    </row>
    <row r="10">
      <c r="A10" t="inlineStr"/>
      <c r="B10" t="inlineStr"/>
    </row>
    <row r="11">
      <c r="A11">
        <f>=================================================</f>
        <v/>
      </c>
      <c r="B11" t="inlineStr"/>
    </row>
    <row r="12">
      <c r="A12" t="inlineStr">
        <is>
          <t>操作建议:</t>
        </is>
      </c>
      <c r="B12" t="inlineStr"/>
    </row>
    <row r="13">
      <c r="A13" t="inlineStr">
        <is>
          <t>1. 优先关注评分70以上的股票</t>
        </is>
      </c>
      <c r="B13" t="inlineStr"/>
    </row>
    <row r="14">
      <c r="A14" t="inlineStr">
        <is>
          <t>2. 结合开盘价和成交量确认入场时机</t>
        </is>
      </c>
      <c r="B14" t="inlineStr"/>
    </row>
    <row r="15">
      <c r="A15" t="inlineStr">
        <is>
          <t>3. 设置合理止损位（建议5%-8%）</t>
        </is>
      </c>
      <c r="B15" t="inlineStr"/>
    </row>
    <row r="16">
      <c r="A16" t="inlineStr">
        <is>
          <t>4. 控制仓位，不要满仓操作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股票名称</t>
        </is>
      </c>
      <c r="B1" t="inlineStr">
        <is>
          <t>亚世光电</t>
        </is>
      </c>
    </row>
    <row r="2">
      <c r="A2" t="inlineStr">
        <is>
          <t>股票代码</t>
        </is>
      </c>
      <c r="B2" t="inlineStr">
        <is>
          <t>SZ002952</t>
        </is>
      </c>
    </row>
    <row r="3">
      <c r="A3" t="inlineStr"/>
      <c r="B3" t="inlineStr"/>
    </row>
    <row r="4">
      <c r="A4" t="inlineStr">
        <is>
          <t>当前价格</t>
        </is>
      </c>
      <c r="B4" t="inlineStr">
        <is>
          <t>¥29.89</t>
        </is>
      </c>
    </row>
    <row r="5">
      <c r="A5" t="inlineStr">
        <is>
          <t>开盘价</t>
        </is>
      </c>
      <c r="B5" t="inlineStr">
        <is>
          <t>¥28.43</t>
        </is>
      </c>
    </row>
    <row r="6">
      <c r="A6" t="inlineStr">
        <is>
          <t>最高价</t>
        </is>
      </c>
      <c r="B6" t="inlineStr">
        <is>
          <t>¥29.98</t>
        </is>
      </c>
    </row>
    <row r="7">
      <c r="A7" t="inlineStr">
        <is>
          <t>最低价</t>
        </is>
      </c>
      <c r="B7" t="inlineStr">
        <is>
          <t>¥27.50</t>
        </is>
      </c>
    </row>
    <row r="8">
      <c r="A8" t="inlineStr">
        <is>
          <t>涨幅</t>
        </is>
      </c>
      <c r="B8" t="inlineStr">
        <is>
          <t>+4.73%</t>
        </is>
      </c>
    </row>
    <row r="9">
      <c r="A9" t="inlineStr">
        <is>
          <t>成交量</t>
        </is>
      </c>
      <c r="B9" t="inlineStr">
        <is>
          <t>16,952,608.0</t>
        </is>
      </c>
    </row>
    <row r="10">
      <c r="A10" t="inlineStr"/>
      <c r="B10" t="inlineStr"/>
    </row>
    <row r="11">
      <c r="A11" t="inlineStr">
        <is>
          <t>技术评分</t>
        </is>
      </c>
      <c r="B11" t="inlineStr">
        <is>
          <t>85/100</t>
        </is>
      </c>
    </row>
    <row r="12">
      <c r="A12" t="inlineStr">
        <is>
          <t>技术信号</t>
        </is>
      </c>
      <c r="B12" t="inlineStr">
        <is>
          <t>均线多头, MACD金叉, KDJ金叉, 放量, 温和上涨</t>
        </is>
      </c>
    </row>
    <row r="13">
      <c r="A13" t="inlineStr"/>
      <c r="B13" t="inlineStr"/>
    </row>
    <row r="14">
      <c r="A14">
        <f>== 均线指标 ===</f>
        <v/>
      </c>
      <c r="B14" t="inlineStr"/>
    </row>
    <row r="15">
      <c r="A15" t="inlineStr">
        <is>
          <t>MA5</t>
        </is>
      </c>
      <c r="B15" t="inlineStr">
        <is>
          <t>¥28.56</t>
        </is>
      </c>
    </row>
    <row r="16">
      <c r="A16" t="inlineStr">
        <is>
          <t>MA10</t>
        </is>
      </c>
      <c r="B16" t="inlineStr">
        <is>
          <t>¥28.41</t>
        </is>
      </c>
    </row>
    <row r="17">
      <c r="A17" t="inlineStr">
        <is>
          <t>MA20</t>
        </is>
      </c>
      <c r="B17" t="inlineStr">
        <is>
          <t>¥27.56</t>
        </is>
      </c>
    </row>
    <row r="18">
      <c r="A18" t="inlineStr"/>
      <c r="B18" t="inlineStr"/>
    </row>
    <row r="19">
      <c r="A19">
        <f>== MACD指标 ===</f>
        <v/>
      </c>
      <c r="B19" t="inlineStr"/>
    </row>
    <row r="20">
      <c r="A20" t="inlineStr">
        <is>
          <t>DIF</t>
        </is>
      </c>
      <c r="B20" t="inlineStr">
        <is>
          <t>0.8685</t>
        </is>
      </c>
    </row>
    <row r="21">
      <c r="A21" t="inlineStr">
        <is>
          <t>DEA</t>
        </is>
      </c>
      <c r="B21" t="inlineStr">
        <is>
          <t>0.8096</t>
        </is>
      </c>
    </row>
    <row r="22">
      <c r="A22" t="inlineStr">
        <is>
          <t>MACD</t>
        </is>
      </c>
      <c r="B22" t="inlineStr">
        <is>
          <t>0.1178</t>
        </is>
      </c>
    </row>
    <row r="23">
      <c r="A23" t="inlineStr"/>
      <c r="B23" t="inlineStr"/>
    </row>
    <row r="24">
      <c r="A24">
        <f>== KDJ指标 ===</f>
        <v/>
      </c>
      <c r="B24" t="inlineStr"/>
    </row>
    <row r="25">
      <c r="A25" t="inlineStr">
        <is>
          <t>K</t>
        </is>
      </c>
      <c r="B25" t="inlineStr">
        <is>
          <t>68.42</t>
        </is>
      </c>
    </row>
    <row r="26">
      <c r="A26" t="inlineStr">
        <is>
          <t>D</t>
        </is>
      </c>
      <c r="B26" t="inlineStr">
        <is>
          <t>62.13</t>
        </is>
      </c>
    </row>
    <row r="27">
      <c r="A27" t="inlineStr">
        <is>
          <t>J</t>
        </is>
      </c>
      <c r="B27" t="inlineStr">
        <is>
          <t>81.00</t>
        </is>
      </c>
    </row>
    <row r="28">
      <c r="A28" t="inlineStr"/>
      <c r="B28" t="inlineStr"/>
    </row>
    <row r="29">
      <c r="A29">
        <f>== RSI指标 ===</f>
        <v/>
      </c>
      <c r="B29" t="inlineStr"/>
    </row>
    <row r="30">
      <c r="A30" t="inlineStr">
        <is>
          <t>RSI</t>
        </is>
      </c>
      <c r="B30" t="inlineStr">
        <is>
          <t>61.10</t>
        </is>
      </c>
    </row>
    <row r="31">
      <c r="A31" t="inlineStr"/>
      <c r="B31" t="inlineStr"/>
    </row>
    <row r="32">
      <c r="A32">
        <f>== 布林带 ===</f>
        <v/>
      </c>
      <c r="B32" t="inlineStr"/>
    </row>
    <row r="33">
      <c r="A33" t="inlineStr">
        <is>
          <t>中轨</t>
        </is>
      </c>
      <c r="B33" t="inlineStr">
        <is>
          <t>¥27.56</t>
        </is>
      </c>
    </row>
    <row r="34">
      <c r="A34" t="inlineStr">
        <is>
          <t>上轨</t>
        </is>
      </c>
      <c r="B34" t="inlineStr">
        <is>
          <t>¥30.24</t>
        </is>
      </c>
    </row>
    <row r="35">
      <c r="A35" t="inlineStr">
        <is>
          <t>下轨</t>
        </is>
      </c>
      <c r="B35" t="inlineStr">
        <is>
          <t>¥24.88</t>
        </is>
      </c>
    </row>
    <row r="36">
      <c r="A36" t="inlineStr"/>
      <c r="B36" t="inlineStr"/>
    </row>
    <row r="37">
      <c r="A37">
        <f>== 操作建议 ===</f>
        <v/>
      </c>
      <c r="B37" t="inlineStr"/>
    </row>
    <row r="38">
      <c r="A38" t="inlineStr">
        <is>
          <t>止损位</t>
        </is>
      </c>
      <c r="B38" t="inlineStr">
        <is>
          <t>¥28.40 (5%)</t>
        </is>
      </c>
    </row>
    <row r="39">
      <c r="A39" t="inlineStr">
        <is>
          <t>目标价</t>
        </is>
      </c>
      <c r="B39" t="inlineStr">
        <is>
          <t>¥32.88 (10%)</t>
        </is>
      </c>
    </row>
    <row r="40">
      <c r="A40" t="inlineStr">
        <is>
          <t>仓位建议</t>
        </is>
      </c>
      <c r="B40" t="inlineStr">
        <is>
          <t>建议不超过20%</t>
        </is>
      </c>
    </row>
    <row r="41">
      <c r="A41" t="inlineStr">
        <is>
          <t>操作策略</t>
        </is>
      </c>
      <c r="B41" t="inlineStr">
        <is>
          <t>结合开盘价和成交量确认入场时机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2026-04-15</t>
        </is>
      </c>
      <c r="B2" t="n">
        <v>26</v>
      </c>
      <c r="C2" t="n">
        <v>26.4</v>
      </c>
      <c r="D2" t="n">
        <v>25.82</v>
      </c>
      <c r="E2" t="n">
        <v>26.29</v>
      </c>
      <c r="F2" t="n">
        <v>6196900</v>
      </c>
    </row>
    <row r="3">
      <c r="A3" t="inlineStr">
        <is>
          <t>2026-04-16</t>
        </is>
      </c>
      <c r="B3" t="n">
        <v>26</v>
      </c>
      <c r="C3" t="n">
        <v>26.16</v>
      </c>
      <c r="D3" t="n">
        <v>25.61</v>
      </c>
      <c r="E3" t="n">
        <v>25.93</v>
      </c>
      <c r="F3" t="n">
        <v>5545364</v>
      </c>
    </row>
    <row r="4">
      <c r="A4" t="inlineStr">
        <is>
          <t>2026-04-17</t>
        </is>
      </c>
      <c r="B4" t="n">
        <v>25.72</v>
      </c>
      <c r="C4" t="n">
        <v>26.09</v>
      </c>
      <c r="D4" t="n">
        <v>24.24</v>
      </c>
      <c r="E4" t="n">
        <v>24.92</v>
      </c>
      <c r="F4" t="n">
        <v>10482000</v>
      </c>
    </row>
    <row r="5">
      <c r="A5" t="inlineStr">
        <is>
          <t>2026-04-20</t>
        </is>
      </c>
      <c r="B5" t="n">
        <v>25.05</v>
      </c>
      <c r="C5" t="n">
        <v>25.8</v>
      </c>
      <c r="D5" t="n">
        <v>24.54</v>
      </c>
      <c r="E5" t="n">
        <v>24.81</v>
      </c>
      <c r="F5" t="n">
        <v>8347500</v>
      </c>
    </row>
    <row r="6">
      <c r="A6" t="inlineStr">
        <is>
          <t>2026-04-21</t>
        </is>
      </c>
      <c r="B6" t="n">
        <v>24.81</v>
      </c>
      <c r="C6" t="n">
        <v>27.29</v>
      </c>
      <c r="D6" t="n">
        <v>24.62</v>
      </c>
      <c r="E6" t="n">
        <v>27.29</v>
      </c>
      <c r="F6" t="n">
        <v>11080200</v>
      </c>
    </row>
    <row r="7">
      <c r="A7" t="inlineStr">
        <is>
          <t>2026-04-22</t>
        </is>
      </c>
      <c r="B7" t="n">
        <v>27.59</v>
      </c>
      <c r="C7" t="n">
        <v>28.17</v>
      </c>
      <c r="D7" t="n">
        <v>27.03</v>
      </c>
      <c r="E7" t="n">
        <v>27.38</v>
      </c>
      <c r="F7" t="n">
        <v>19355350</v>
      </c>
    </row>
    <row r="8">
      <c r="A8" t="inlineStr">
        <is>
          <t>2026-04-23</t>
        </is>
      </c>
      <c r="B8" t="n">
        <v>27.32</v>
      </c>
      <c r="C8" t="n">
        <v>27.38</v>
      </c>
      <c r="D8" t="n">
        <v>26.4</v>
      </c>
      <c r="E8" t="n">
        <v>26.63</v>
      </c>
      <c r="F8" t="n">
        <v>10125996</v>
      </c>
    </row>
    <row r="9">
      <c r="A9" t="inlineStr">
        <is>
          <t>2026-04-24</t>
        </is>
      </c>
      <c r="B9" t="n">
        <v>26.9</v>
      </c>
      <c r="C9" t="n">
        <v>27.78</v>
      </c>
      <c r="D9" t="n">
        <v>26.55</v>
      </c>
      <c r="E9" t="n">
        <v>26.98</v>
      </c>
      <c r="F9" t="n">
        <v>12637100</v>
      </c>
    </row>
    <row r="10">
      <c r="A10" t="inlineStr">
        <is>
          <t>2026-04-27</t>
        </is>
      </c>
      <c r="B10" t="n">
        <v>26.84</v>
      </c>
      <c r="C10" t="n">
        <v>29.62</v>
      </c>
      <c r="D10" t="n">
        <v>26.73</v>
      </c>
      <c r="E10" t="n">
        <v>28.87</v>
      </c>
      <c r="F10" t="n">
        <v>19477325</v>
      </c>
    </row>
    <row r="11">
      <c r="A11" t="inlineStr">
        <is>
          <t>2026-04-28</t>
        </is>
      </c>
      <c r="B11" t="n">
        <v>27.75</v>
      </c>
      <c r="C11" t="n">
        <v>28.28</v>
      </c>
      <c r="D11" t="n">
        <v>27.5</v>
      </c>
      <c r="E11" t="n">
        <v>27.99</v>
      </c>
      <c r="F11" t="n">
        <v>10611933</v>
      </c>
    </row>
    <row r="12">
      <c r="A12" t="inlineStr">
        <is>
          <t>2026-04-29</t>
        </is>
      </c>
      <c r="B12" t="n">
        <v>27.9</v>
      </c>
      <c r="C12" t="n">
        <v>28.22</v>
      </c>
      <c r="D12" t="n">
        <v>27.22</v>
      </c>
      <c r="E12" t="n">
        <v>28.22</v>
      </c>
      <c r="F12" t="n">
        <v>9412362</v>
      </c>
    </row>
    <row r="13">
      <c r="A13" t="inlineStr">
        <is>
          <t>2026-04-30</t>
        </is>
      </c>
      <c r="B13" t="n">
        <v>28</v>
      </c>
      <c r="C13" t="n">
        <v>28</v>
      </c>
      <c r="D13" t="n">
        <v>27.09</v>
      </c>
      <c r="E13" t="n">
        <v>27.6</v>
      </c>
      <c r="F13" t="n">
        <v>7920600</v>
      </c>
    </row>
    <row r="14">
      <c r="A14" t="inlineStr">
        <is>
          <t>2026-05-06</t>
        </is>
      </c>
      <c r="B14" t="n">
        <v>27.8</v>
      </c>
      <c r="C14" t="n">
        <v>29.5</v>
      </c>
      <c r="D14" t="n">
        <v>27.34</v>
      </c>
      <c r="E14" t="n">
        <v>28.72</v>
      </c>
      <c r="F14" t="n">
        <v>12036500</v>
      </c>
    </row>
    <row r="15">
      <c r="A15" t="inlineStr">
        <is>
          <t>2026-05-07</t>
        </is>
      </c>
      <c r="B15" t="n">
        <v>28.44</v>
      </c>
      <c r="C15" t="n">
        <v>29.35</v>
      </c>
      <c r="D15" t="n">
        <v>28.24</v>
      </c>
      <c r="E15" t="n">
        <v>28.64</v>
      </c>
      <c r="F15" t="n">
        <v>10322275</v>
      </c>
    </row>
    <row r="16">
      <c r="A16" t="inlineStr">
        <is>
          <t>2026-05-08</t>
        </is>
      </c>
      <c r="B16" t="n">
        <v>28.25</v>
      </c>
      <c r="C16" t="n">
        <v>28.47</v>
      </c>
      <c r="D16" t="n">
        <v>27.68</v>
      </c>
      <c r="E16" t="n">
        <v>28.1</v>
      </c>
      <c r="F16" t="n">
        <v>9164699</v>
      </c>
    </row>
    <row r="17">
      <c r="A17" t="inlineStr">
        <is>
          <t>2026-05-11</t>
        </is>
      </c>
      <c r="B17" t="n">
        <v>28.1</v>
      </c>
      <c r="C17" t="n">
        <v>29.13</v>
      </c>
      <c r="D17" t="n">
        <v>27.75</v>
      </c>
      <c r="E17" t="n">
        <v>29.11</v>
      </c>
      <c r="F17" t="n">
        <v>10925119</v>
      </c>
    </row>
    <row r="18">
      <c r="A18" t="inlineStr">
        <is>
          <t>2026-05-12</t>
        </is>
      </c>
      <c r="B18" t="n">
        <v>28.88</v>
      </c>
      <c r="C18" t="n">
        <v>28.88</v>
      </c>
      <c r="D18" t="n">
        <v>27.32</v>
      </c>
      <c r="E18" t="n">
        <v>27.68</v>
      </c>
      <c r="F18" t="n">
        <v>8427900</v>
      </c>
    </row>
    <row r="19">
      <c r="A19" t="inlineStr">
        <is>
          <t>2026-05-13</t>
        </is>
      </c>
      <c r="B19" t="n">
        <v>27.2</v>
      </c>
      <c r="C19" t="n">
        <v>27.97</v>
      </c>
      <c r="D19" t="n">
        <v>26.42</v>
      </c>
      <c r="E19" t="n">
        <v>27.58</v>
      </c>
      <c r="F19" t="n">
        <v>6050425</v>
      </c>
    </row>
    <row r="20">
      <c r="A20" t="inlineStr">
        <is>
          <t>2026-05-14</t>
        </is>
      </c>
      <c r="B20" t="n">
        <v>27.58</v>
      </c>
      <c r="C20" t="n">
        <v>30</v>
      </c>
      <c r="D20" t="n">
        <v>26.8</v>
      </c>
      <c r="E20" t="n">
        <v>28.54</v>
      </c>
      <c r="F20" t="n">
        <v>13839518</v>
      </c>
    </row>
    <row r="21">
      <c r="A21" t="inlineStr">
        <is>
          <t>2026-05-15</t>
        </is>
      </c>
      <c r="B21" t="n">
        <v>28.43</v>
      </c>
      <c r="C21" t="n">
        <v>29.98</v>
      </c>
      <c r="D21" t="n">
        <v>27.5</v>
      </c>
      <c r="E21" t="n">
        <v>29.89</v>
      </c>
      <c r="F21" t="n">
        <v>16952608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股票名称</t>
        </is>
      </c>
      <c r="B1" t="inlineStr">
        <is>
          <t>氯碱化工</t>
        </is>
      </c>
    </row>
    <row r="2">
      <c r="A2" t="inlineStr">
        <is>
          <t>股票代码</t>
        </is>
      </c>
      <c r="B2" t="inlineStr">
        <is>
          <t>SH600618</t>
        </is>
      </c>
    </row>
    <row r="3">
      <c r="A3" t="inlineStr"/>
      <c r="B3" t="inlineStr"/>
    </row>
    <row r="4">
      <c r="A4" t="inlineStr">
        <is>
          <t>当前价格</t>
        </is>
      </c>
      <c r="B4" t="inlineStr">
        <is>
          <t>¥12.64</t>
        </is>
      </c>
    </row>
    <row r="5">
      <c r="A5" t="inlineStr">
        <is>
          <t>开盘价</t>
        </is>
      </c>
      <c r="B5" t="inlineStr">
        <is>
          <t>¥12.30</t>
        </is>
      </c>
    </row>
    <row r="6">
      <c r="A6" t="inlineStr">
        <is>
          <t>最高价</t>
        </is>
      </c>
      <c r="B6" t="inlineStr">
        <is>
          <t>¥13.09</t>
        </is>
      </c>
    </row>
    <row r="7">
      <c r="A7" t="inlineStr">
        <is>
          <t>最低价</t>
        </is>
      </c>
      <c r="B7" t="inlineStr">
        <is>
          <t>¥12.30</t>
        </is>
      </c>
    </row>
    <row r="8">
      <c r="A8" t="inlineStr">
        <is>
          <t>涨幅</t>
        </is>
      </c>
      <c r="B8" t="inlineStr">
        <is>
          <t>+2.85%</t>
        </is>
      </c>
    </row>
    <row r="9">
      <c r="A9" t="inlineStr">
        <is>
          <t>成交量</t>
        </is>
      </c>
      <c r="B9" t="inlineStr">
        <is>
          <t>30,476,134.0</t>
        </is>
      </c>
    </row>
    <row r="10">
      <c r="A10" t="inlineStr"/>
      <c r="B10" t="inlineStr"/>
    </row>
    <row r="11">
      <c r="A11" t="inlineStr">
        <is>
          <t>技术评分</t>
        </is>
      </c>
      <c r="B11" t="inlineStr">
        <is>
          <t>80/100</t>
        </is>
      </c>
    </row>
    <row r="12">
      <c r="A12" t="inlineStr">
        <is>
          <t>技术信号</t>
        </is>
      </c>
      <c r="B12" t="inlineStr">
        <is>
          <t>MACD金叉, KDJ金叉, RSI低位, 放量, 温和上涨</t>
        </is>
      </c>
    </row>
    <row r="13">
      <c r="A13" t="inlineStr"/>
      <c r="B13" t="inlineStr"/>
    </row>
    <row r="14">
      <c r="A14">
        <f>== 均线指标 ===</f>
        <v/>
      </c>
      <c r="B14" t="inlineStr"/>
    </row>
    <row r="15">
      <c r="A15" t="inlineStr">
        <is>
          <t>MA5</t>
        </is>
      </c>
      <c r="B15" t="inlineStr">
        <is>
          <t>¥12.34</t>
        </is>
      </c>
    </row>
    <row r="16">
      <c r="A16" t="inlineStr">
        <is>
          <t>MA10</t>
        </is>
      </c>
      <c r="B16" t="inlineStr">
        <is>
          <t>¥12.49</t>
        </is>
      </c>
    </row>
    <row r="17">
      <c r="A17" t="inlineStr">
        <is>
          <t>MA20</t>
        </is>
      </c>
      <c r="B17" t="inlineStr">
        <is>
          <t>¥12.71</t>
        </is>
      </c>
    </row>
    <row r="18">
      <c r="A18" t="inlineStr"/>
      <c r="B18" t="inlineStr"/>
    </row>
    <row r="19">
      <c r="A19">
        <f>== MACD指标 ===</f>
        <v/>
      </c>
      <c r="B19" t="inlineStr"/>
    </row>
    <row r="20">
      <c r="A20" t="inlineStr">
        <is>
          <t>DIF</t>
        </is>
      </c>
      <c r="B20" t="inlineStr">
        <is>
          <t>-0.2173</t>
        </is>
      </c>
    </row>
    <row r="21">
      <c r="A21" t="inlineStr">
        <is>
          <t>DEA</t>
        </is>
      </c>
      <c r="B21" t="inlineStr">
        <is>
          <t>-0.2184</t>
        </is>
      </c>
    </row>
    <row r="22">
      <c r="A22" t="inlineStr">
        <is>
          <t>MACD</t>
        </is>
      </c>
      <c r="B22" t="inlineStr">
        <is>
          <t>0.0022</t>
        </is>
      </c>
    </row>
    <row r="23">
      <c r="A23" t="inlineStr"/>
      <c r="B23" t="inlineStr"/>
    </row>
    <row r="24">
      <c r="A24">
        <f>== KDJ指标 ===</f>
        <v/>
      </c>
      <c r="B24" t="inlineStr"/>
    </row>
    <row r="25">
      <c r="A25" t="inlineStr">
        <is>
          <t>K</t>
        </is>
      </c>
      <c r="B25" t="inlineStr">
        <is>
          <t>33.08</t>
        </is>
      </c>
    </row>
    <row r="26">
      <c r="A26" t="inlineStr">
        <is>
          <t>D</t>
        </is>
      </c>
      <c r="B26" t="inlineStr">
        <is>
          <t>29.45</t>
        </is>
      </c>
    </row>
    <row r="27">
      <c r="A27" t="inlineStr">
        <is>
          <t>J</t>
        </is>
      </c>
      <c r="B27" t="inlineStr">
        <is>
          <t>40.34</t>
        </is>
      </c>
    </row>
    <row r="28">
      <c r="A28" t="inlineStr"/>
      <c r="B28" t="inlineStr"/>
    </row>
    <row r="29">
      <c r="A29">
        <f>== RSI指标 ===</f>
        <v/>
      </c>
      <c r="B29" t="inlineStr"/>
    </row>
    <row r="30">
      <c r="A30" t="inlineStr">
        <is>
          <t>RSI</t>
        </is>
      </c>
      <c r="B30" t="inlineStr">
        <is>
          <t>40.27</t>
        </is>
      </c>
    </row>
    <row r="31">
      <c r="A31" t="inlineStr"/>
      <c r="B31" t="inlineStr"/>
    </row>
    <row r="32">
      <c r="A32">
        <f>== 布林带 ===</f>
        <v/>
      </c>
      <c r="B32" t="inlineStr"/>
    </row>
    <row r="33">
      <c r="A33" t="inlineStr">
        <is>
          <t>中轨</t>
        </is>
      </c>
      <c r="B33" t="inlineStr">
        <is>
          <t>¥12.71</t>
        </is>
      </c>
    </row>
    <row r="34">
      <c r="A34" t="inlineStr">
        <is>
          <t>上轨</t>
        </is>
      </c>
      <c r="B34" t="inlineStr">
        <is>
          <t>¥13.33</t>
        </is>
      </c>
    </row>
    <row r="35">
      <c r="A35" t="inlineStr">
        <is>
          <t>下轨</t>
        </is>
      </c>
      <c r="B35" t="inlineStr">
        <is>
          <t>¥12.09</t>
        </is>
      </c>
    </row>
    <row r="36">
      <c r="A36" t="inlineStr"/>
      <c r="B36" t="inlineStr"/>
    </row>
    <row r="37">
      <c r="A37">
        <f>== 操作建议 ===</f>
        <v/>
      </c>
      <c r="B37" t="inlineStr"/>
    </row>
    <row r="38">
      <c r="A38" t="inlineStr">
        <is>
          <t>止损位</t>
        </is>
      </c>
      <c r="B38" t="inlineStr">
        <is>
          <t>¥12.01 (5%)</t>
        </is>
      </c>
    </row>
    <row r="39">
      <c r="A39" t="inlineStr">
        <is>
          <t>目标价</t>
        </is>
      </c>
      <c r="B39" t="inlineStr">
        <is>
          <t>¥13.90 (10%)</t>
        </is>
      </c>
    </row>
    <row r="40">
      <c r="A40" t="inlineStr">
        <is>
          <t>仓位建议</t>
        </is>
      </c>
      <c r="B40" t="inlineStr">
        <is>
          <t>建议不超过20%</t>
        </is>
      </c>
    </row>
    <row r="41">
      <c r="A41" t="inlineStr">
        <is>
          <t>操作策略</t>
        </is>
      </c>
      <c r="B41" t="inlineStr">
        <is>
          <t>结合开盘价和成交量确认入场时机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2026-04-15</t>
        </is>
      </c>
      <c r="B2" t="n">
        <v>12.81</v>
      </c>
      <c r="C2" t="n">
        <v>12.85</v>
      </c>
      <c r="D2" t="n">
        <v>12.61</v>
      </c>
      <c r="E2" t="n">
        <v>12.65</v>
      </c>
      <c r="F2" t="n">
        <v>5947600</v>
      </c>
    </row>
    <row r="3">
      <c r="A3" t="inlineStr">
        <is>
          <t>2026-04-16</t>
        </is>
      </c>
      <c r="B3" t="n">
        <v>12.7</v>
      </c>
      <c r="C3" t="n">
        <v>12.83</v>
      </c>
      <c r="D3" t="n">
        <v>12.63</v>
      </c>
      <c r="E3" t="n">
        <v>12.82</v>
      </c>
      <c r="F3" t="n">
        <v>7115971</v>
      </c>
    </row>
    <row r="4">
      <c r="A4" t="inlineStr">
        <is>
          <t>2026-04-17</t>
        </is>
      </c>
      <c r="B4" t="n">
        <v>12.83</v>
      </c>
      <c r="C4" t="n">
        <v>12.83</v>
      </c>
      <c r="D4" t="n">
        <v>12.58</v>
      </c>
      <c r="E4" t="n">
        <v>12.71</v>
      </c>
      <c r="F4" t="n">
        <v>6668100</v>
      </c>
    </row>
    <row r="5">
      <c r="A5" t="inlineStr">
        <is>
          <t>2026-04-20</t>
        </is>
      </c>
      <c r="B5" t="n">
        <v>12.75</v>
      </c>
      <c r="C5" t="n">
        <v>12.87</v>
      </c>
      <c r="D5" t="n">
        <v>12.61</v>
      </c>
      <c r="E5" t="n">
        <v>12.71</v>
      </c>
      <c r="F5" t="n">
        <v>6999558</v>
      </c>
    </row>
    <row r="6">
      <c r="A6" t="inlineStr">
        <is>
          <t>2026-04-21</t>
        </is>
      </c>
      <c r="B6" t="n">
        <v>12.79</v>
      </c>
      <c r="C6" t="n">
        <v>13.25</v>
      </c>
      <c r="D6" t="n">
        <v>12.78</v>
      </c>
      <c r="E6" t="n">
        <v>13.2</v>
      </c>
      <c r="F6" t="n">
        <v>20908029</v>
      </c>
    </row>
    <row r="7">
      <c r="A7" t="inlineStr">
        <is>
          <t>2026-04-22</t>
        </is>
      </c>
      <c r="B7" t="n">
        <v>13.08</v>
      </c>
      <c r="C7" t="n">
        <v>13.2</v>
      </c>
      <c r="D7" t="n">
        <v>12.92</v>
      </c>
      <c r="E7" t="n">
        <v>13.07</v>
      </c>
      <c r="F7" t="n">
        <v>14746465</v>
      </c>
    </row>
    <row r="8">
      <c r="A8" t="inlineStr">
        <is>
          <t>2026-04-23</t>
        </is>
      </c>
      <c r="B8" t="n">
        <v>13.04</v>
      </c>
      <c r="C8" t="n">
        <v>13.23</v>
      </c>
      <c r="D8" t="n">
        <v>12.84</v>
      </c>
      <c r="E8" t="n">
        <v>13.03</v>
      </c>
      <c r="F8" t="n">
        <v>14303914</v>
      </c>
    </row>
    <row r="9">
      <c r="A9" t="inlineStr">
        <is>
          <t>2026-04-24</t>
        </is>
      </c>
      <c r="B9" t="n">
        <v>12.91</v>
      </c>
      <c r="C9" t="n">
        <v>13.2</v>
      </c>
      <c r="D9" t="n">
        <v>12.88</v>
      </c>
      <c r="E9" t="n">
        <v>13.12</v>
      </c>
      <c r="F9" t="n">
        <v>14467809</v>
      </c>
    </row>
    <row r="10">
      <c r="A10" t="inlineStr">
        <is>
          <t>2026-04-27</t>
        </is>
      </c>
      <c r="B10" t="n">
        <v>13.02</v>
      </c>
      <c r="C10" t="n">
        <v>13.03</v>
      </c>
      <c r="D10" t="n">
        <v>12.79</v>
      </c>
      <c r="E10" t="n">
        <v>12.87</v>
      </c>
      <c r="F10" t="n">
        <v>10181809</v>
      </c>
    </row>
    <row r="11">
      <c r="A11" t="inlineStr">
        <is>
          <t>2026-04-28</t>
        </is>
      </c>
      <c r="B11" t="n">
        <v>12.76</v>
      </c>
      <c r="C11" t="n">
        <v>13.07</v>
      </c>
      <c r="D11" t="n">
        <v>12.69</v>
      </c>
      <c r="E11" t="n">
        <v>13.02</v>
      </c>
      <c r="F11" t="n">
        <v>11649440</v>
      </c>
    </row>
    <row r="12">
      <c r="A12" t="inlineStr">
        <is>
          <t>2026-04-29</t>
        </is>
      </c>
      <c r="B12" t="n">
        <v>12.7</v>
      </c>
      <c r="C12" t="n">
        <v>12.85</v>
      </c>
      <c r="D12" t="n">
        <v>12.2</v>
      </c>
      <c r="E12" t="n">
        <v>12.77</v>
      </c>
      <c r="F12" t="n">
        <v>16539003</v>
      </c>
    </row>
    <row r="13">
      <c r="A13" t="inlineStr">
        <is>
          <t>2026-04-30</t>
        </is>
      </c>
      <c r="B13" t="n">
        <v>12.7</v>
      </c>
      <c r="C13" t="n">
        <v>13.08</v>
      </c>
      <c r="D13" t="n">
        <v>12.7</v>
      </c>
      <c r="E13" t="n">
        <v>12.87</v>
      </c>
      <c r="F13" t="n">
        <v>12460701</v>
      </c>
    </row>
    <row r="14">
      <c r="A14" t="inlineStr">
        <is>
          <t>2026-05-06</t>
        </is>
      </c>
      <c r="B14" t="n">
        <v>12.88</v>
      </c>
      <c r="C14" t="n">
        <v>12.97</v>
      </c>
      <c r="D14" t="n">
        <v>12.62</v>
      </c>
      <c r="E14" t="n">
        <v>12.76</v>
      </c>
      <c r="F14" t="n">
        <v>11507402</v>
      </c>
    </row>
    <row r="15">
      <c r="A15" t="inlineStr">
        <is>
          <t>2026-05-07</t>
        </is>
      </c>
      <c r="B15" t="n">
        <v>12.94</v>
      </c>
      <c r="C15" t="n">
        <v>12.95</v>
      </c>
      <c r="D15" t="n">
        <v>12.4</v>
      </c>
      <c r="E15" t="n">
        <v>12.46</v>
      </c>
      <c r="F15" t="n">
        <v>15082283</v>
      </c>
    </row>
    <row r="16">
      <c r="A16" t="inlineStr">
        <is>
          <t>2026-05-08</t>
        </is>
      </c>
      <c r="B16" t="n">
        <v>12.46</v>
      </c>
      <c r="C16" t="n">
        <v>12.56</v>
      </c>
      <c r="D16" t="n">
        <v>12.3</v>
      </c>
      <c r="E16" t="n">
        <v>12.37</v>
      </c>
      <c r="F16" t="n">
        <v>8836716</v>
      </c>
    </row>
    <row r="17">
      <c r="A17" t="inlineStr">
        <is>
          <t>2026-05-11</t>
        </is>
      </c>
      <c r="B17" t="n">
        <v>12.39</v>
      </c>
      <c r="C17" t="n">
        <v>12.48</v>
      </c>
      <c r="D17" t="n">
        <v>12.26</v>
      </c>
      <c r="E17" t="n">
        <v>12.28</v>
      </c>
      <c r="F17" t="n">
        <v>9910100</v>
      </c>
    </row>
    <row r="18">
      <c r="A18" t="inlineStr">
        <is>
          <t>2026-05-12</t>
        </is>
      </c>
      <c r="B18" t="n">
        <v>12.29</v>
      </c>
      <c r="C18" t="n">
        <v>12.43</v>
      </c>
      <c r="D18" t="n">
        <v>12.12</v>
      </c>
      <c r="E18" t="n">
        <v>12.14</v>
      </c>
      <c r="F18" t="n">
        <v>8877524</v>
      </c>
    </row>
    <row r="19">
      <c r="A19" t="inlineStr">
        <is>
          <t>2026-05-13</t>
        </is>
      </c>
      <c r="B19" t="n">
        <v>12.2</v>
      </c>
      <c r="C19" t="n">
        <v>12.47</v>
      </c>
      <c r="D19" t="n">
        <v>12.07</v>
      </c>
      <c r="E19" t="n">
        <v>12.34</v>
      </c>
      <c r="F19" t="n">
        <v>9901900</v>
      </c>
    </row>
    <row r="20">
      <c r="A20" t="inlineStr">
        <is>
          <t>2026-05-14</t>
        </is>
      </c>
      <c r="B20" t="n">
        <v>12.36</v>
      </c>
      <c r="C20" t="n">
        <v>12.6</v>
      </c>
      <c r="D20" t="n">
        <v>12.28</v>
      </c>
      <c r="E20" t="n">
        <v>12.29</v>
      </c>
      <c r="F20" t="n">
        <v>14114700</v>
      </c>
    </row>
    <row r="21">
      <c r="A21" t="inlineStr">
        <is>
          <t>2026-05-15</t>
        </is>
      </c>
      <c r="B21" t="n">
        <v>12.3</v>
      </c>
      <c r="C21" t="n">
        <v>13.09</v>
      </c>
      <c r="D21" t="n">
        <v>12.3</v>
      </c>
      <c r="E21" t="n">
        <v>12.64</v>
      </c>
      <c r="F21" t="n">
        <v>30476134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亚世光电(SZ002952)</t>
        </is>
      </c>
      <c r="C1" t="inlineStr">
        <is>
          <t>氯碱化工(SH600618)</t>
        </is>
      </c>
      <c r="D1" t="inlineStr">
        <is>
          <t>对比</t>
        </is>
      </c>
    </row>
    <row r="2">
      <c r="A2" t="inlineStr"/>
      <c r="B2" t="inlineStr"/>
      <c r="C2" t="inlineStr"/>
      <c r="D2" t="inlineStr"/>
    </row>
    <row r="3">
      <c r="A3" t="inlineStr">
        <is>
          <t>当前价格</t>
        </is>
      </c>
      <c r="B3" t="inlineStr">
        <is>
          <t>¥29.89</t>
        </is>
      </c>
      <c r="C3" t="inlineStr">
        <is>
          <t>¥12.64</t>
        </is>
      </c>
      <c r="D3" t="inlineStr">
        <is>
          <t>亚世光电价格较高</t>
        </is>
      </c>
    </row>
    <row r="4">
      <c r="A4" t="inlineStr">
        <is>
          <t>涨幅</t>
        </is>
      </c>
      <c r="B4" t="inlineStr">
        <is>
          <t>+4.73%</t>
        </is>
      </c>
      <c r="C4" t="inlineStr">
        <is>
          <t>+2.85%</t>
        </is>
      </c>
      <c r="D4" t="inlineStr">
        <is>
          <t>亚世光电更强</t>
        </is>
      </c>
    </row>
    <row r="5">
      <c r="A5" t="inlineStr">
        <is>
          <t>技术评分</t>
        </is>
      </c>
      <c r="B5" t="inlineStr">
        <is>
          <t>85/100</t>
        </is>
      </c>
      <c r="C5" t="inlineStr">
        <is>
          <t>80/100</t>
        </is>
      </c>
      <c r="D5" t="inlineStr">
        <is>
          <t>亚世光电略优</t>
        </is>
      </c>
    </row>
    <row r="6">
      <c r="A6" t="inlineStr"/>
      <c r="B6" t="inlineStr"/>
      <c r="C6" t="inlineStr"/>
      <c r="D6" t="inlineStr"/>
    </row>
    <row r="7">
      <c r="A7">
        <f>== 技术信号 ===</f>
        <v/>
      </c>
      <c r="B7" t="inlineStr"/>
      <c r="C7" t="inlineStr"/>
      <c r="D7" t="inlineStr"/>
    </row>
    <row r="8">
      <c r="A8" t="inlineStr">
        <is>
          <t>均线多头</t>
        </is>
      </c>
      <c r="B8" t="inlineStr">
        <is>
          <t>✓</t>
        </is>
      </c>
      <c r="C8" t="inlineStr"/>
      <c r="D8" t="inlineStr">
        <is>
          <t>亚世光电</t>
        </is>
      </c>
    </row>
    <row r="9">
      <c r="A9" t="inlineStr">
        <is>
          <t>MACD金叉</t>
        </is>
      </c>
      <c r="B9" t="inlineStr">
        <is>
          <t>✓</t>
        </is>
      </c>
      <c r="C9" t="inlineStr">
        <is>
          <t>✓</t>
        </is>
      </c>
      <c r="D9" t="inlineStr">
        <is>
          <t>两者都有</t>
        </is>
      </c>
    </row>
    <row r="10">
      <c r="A10" t="inlineStr">
        <is>
          <t>KDJ金叉</t>
        </is>
      </c>
      <c r="B10" t="inlineStr">
        <is>
          <t>✓</t>
        </is>
      </c>
      <c r="C10" t="inlineStr">
        <is>
          <t>✓</t>
        </is>
      </c>
      <c r="D10" t="inlineStr">
        <is>
          <t>两者都有</t>
        </is>
      </c>
    </row>
    <row r="11">
      <c r="A11" t="inlineStr">
        <is>
          <t>RSI低位</t>
        </is>
      </c>
      <c r="B11" t="inlineStr"/>
      <c r="C11" t="inlineStr">
        <is>
          <t>✓</t>
        </is>
      </c>
      <c r="D11" t="inlineStr">
        <is>
          <t>氯碱化工</t>
        </is>
      </c>
    </row>
    <row r="12">
      <c r="A12" t="inlineStr">
        <is>
          <t>放量</t>
        </is>
      </c>
      <c r="B12" t="inlineStr">
        <is>
          <t>✓</t>
        </is>
      </c>
      <c r="C12" t="inlineStr">
        <is>
          <t>✓</t>
        </is>
      </c>
      <c r="D12" t="inlineStr">
        <is>
          <t>两者都有</t>
        </is>
      </c>
    </row>
    <row r="13">
      <c r="A13" t="inlineStr">
        <is>
          <t>温和上涨</t>
        </is>
      </c>
      <c r="B13" t="inlineStr">
        <is>
          <t>✓</t>
        </is>
      </c>
      <c r="C13" t="inlineStr">
        <is>
          <t>✓</t>
        </is>
      </c>
      <c r="D13" t="inlineStr">
        <is>
          <t>两者都有</t>
        </is>
      </c>
    </row>
    <row r="14">
      <c r="A14" t="inlineStr"/>
      <c r="B14" t="inlineStr"/>
      <c r="C14" t="inlineStr"/>
      <c r="D14" t="inlineStr"/>
    </row>
    <row r="15">
      <c r="A15">
        <f>== 操作建议 ===</f>
        <v/>
      </c>
      <c r="B15" t="inlineStr"/>
      <c r="C15" t="inlineStr"/>
      <c r="D15" t="inlineStr"/>
    </row>
    <row r="16">
      <c r="A16" t="inlineStr">
        <is>
          <t>优先度</t>
        </is>
      </c>
      <c r="B16" t="inlineStr">
        <is>
          <t>★★★★★</t>
        </is>
      </c>
      <c r="C16" t="inlineStr">
        <is>
          <t>★★★★☆</t>
        </is>
      </c>
      <c r="D16" t="inlineStr">
        <is>
          <t>亚世光电优先</t>
        </is>
      </c>
    </row>
    <row r="17">
      <c r="A17" t="inlineStr">
        <is>
          <t>风险等级</t>
        </is>
      </c>
      <c r="B17" t="inlineStr">
        <is>
          <t>中</t>
        </is>
      </c>
      <c r="C17" t="inlineStr">
        <is>
          <t>低</t>
        </is>
      </c>
      <c r="D17" t="inlineStr">
        <is>
          <t>氯碱化工更稳健</t>
        </is>
      </c>
    </row>
    <row r="18">
      <c r="A18" t="inlineStr">
        <is>
          <t>建议仓位</t>
        </is>
      </c>
      <c r="B18" t="inlineStr">
        <is>
          <t>15-20%</t>
        </is>
      </c>
      <c r="C18" t="inlineStr">
        <is>
          <t>20%</t>
        </is>
      </c>
      <c r="D18" t="inlineStr">
        <is>
          <t>氯碱化工可多配</t>
        </is>
      </c>
    </row>
    <row r="19">
      <c r="A19" t="inlineStr"/>
      <c r="B19" t="inlineStr"/>
      <c r="C19" t="inlineStr"/>
      <c r="D19" t="inlineStr"/>
    </row>
    <row r="20">
      <c r="A20" t="inlineStr">
        <is>
          <t>总结:</t>
        </is>
      </c>
      <c r="B20" t="inlineStr">
        <is>
          <t>技术形态完美，重点关注</t>
        </is>
      </c>
      <c r="C20" t="inlineStr">
        <is>
          <t>低位启动，风险较低</t>
        </is>
      </c>
      <c r="D20" t="inlineStr">
        <is>
          <t>两者均可关注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2026-05-18T09:19:59Z</dcterms:created>
  <dcterms:modified xmlns:dcterms="http://purl.org/dc/terms/" xmlns:xsi="http://www.w3.org/2001/XMLSchema-instance" xsi:type="dcterms:W3CDTF">2026-05-18T09:19:59Z</dcterms:modified>
</cp:coreProperties>
</file>